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an\source\repos\xll_ml\xlsx\"/>
    </mc:Choice>
  </mc:AlternateContent>
  <xr:revisionPtr revIDLastSave="0" documentId="13_ncr:1_{D09D5E67-7E5C-4529-AED4-C4275D1B74DB}" xr6:coauthVersionLast="47" xr6:coauthVersionMax="47" xr10:uidLastSave="{00000000-0000-0000-0000-000000000000}"/>
  <bookViews>
    <workbookView xWindow="-110" yWindow="-110" windowWidth="25820" windowHeight="15500" xr2:uid="{9BE03A92-AE89-48A8-9E12-797A60FC8C99}"/>
  </bookViews>
  <sheets>
    <sheet name="Sheet1" sheetId="1" r:id="rId1"/>
  </sheets>
  <definedNames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 a="1"/>
  <c r="G21" i="1" s="1"/>
  <c r="G20" i="1"/>
  <c r="H2" i="1" a="1"/>
  <c r="H2" i="1" s="1"/>
  <c r="K6" i="1" s="1" a="1"/>
  <c r="K6" i="1" s="1"/>
  <c r="B5" i="1" a="1"/>
  <c r="J6" i="1" a="1"/>
  <c r="B5" i="1" l="1"/>
  <c r="J6" i="1"/>
  <c r="C5" i="1" l="1" a="1"/>
  <c r="D5" i="1" a="1"/>
  <c r="C5" i="1" l="1"/>
  <c r="D5" i="1"/>
  <c r="F2" i="1" s="1" a="1"/>
  <c r="F2" i="1" s="1"/>
  <c r="F5" i="1" s="1" a="1"/>
  <c r="F5" i="1" s="1"/>
  <c r="L6" i="1" l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8" i="1" a="1"/>
  <c r="L38" i="1" s="1"/>
  <c r="L39" i="1" a="1"/>
  <c r="L39" i="1" s="1"/>
  <c r="L40" i="1" a="1"/>
  <c r="L40" i="1" s="1"/>
  <c r="L42" i="1" a="1"/>
  <c r="L42" i="1" s="1"/>
  <c r="L44" i="1" a="1"/>
  <c r="L44" i="1" s="1"/>
  <c r="L46" i="1" a="1"/>
  <c r="L46" i="1" s="1"/>
  <c r="L15" i="1" a="1"/>
  <c r="L15" i="1" s="1"/>
  <c r="L37" i="1" a="1"/>
  <c r="L37" i="1" s="1"/>
  <c r="L41" i="1" a="1"/>
  <c r="L41" i="1" s="1"/>
  <c r="L43" i="1" a="1"/>
  <c r="L43" i="1" s="1"/>
  <c r="L45" i="1" a="1"/>
  <c r="L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5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<sst xmlns="http://schemas.openxmlformats.org/spreadsheetml/2006/main" count="13" uniqueCount="13">
  <si>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</si>
  <si>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</si>
  <si>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</si>
  <si>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</si>
  <si>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</si>
  <si>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</si>
  <si>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</si>
  <si>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</si>
  <si>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</si>
  <si>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</si>
  <si>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</si>
  <si>
    <t>mean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</si>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</sst>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3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1" fillId="0" borderId="0" xfId="1">
      <alignment horizontal="center" vertical="center"/>
    </xf>
    <xf numFmtId="2" fontId="0" fillId="0" borderId="0" xfId="0" applyNumberFormat="1"/>
  </cellXfs>
  <cellStyles count="2">
    <cellStyle name="Handle" xfId="1" xr:uid="{EDA68434-B044-46B3-A24D-88082F2D5A0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03471469736005E-2"/>
          <c:y val="0.18560183046696244"/>
          <c:w val="0.88386351706036748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normal_put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xVal>
          <c:yVal>
            <c:numRef>
              <c:f>Sheet1!$K$6:$K$46</c:f>
              <c:numCache>
                <c:formatCode>General</c:formatCode>
                <c:ptCount val="41"/>
                <c:pt idx="0">
                  <c:v>3.9914343421845189E-2</c:v>
                </c:pt>
                <c:pt idx="1">
                  <c:v>5.7008934088098151E-2</c:v>
                </c:pt>
                <c:pt idx="2">
                  <c:v>8.0058534547871929E-2</c:v>
                </c:pt>
                <c:pt idx="3">
                  <c:v>0.11061799019468133</c:v>
                </c:pt>
                <c:pt idx="4">
                  <c:v>0.15048353300942274</c:v>
                </c:pt>
                <c:pt idx="5">
                  <c:v>0.20168732797265765</c:v>
                </c:pt>
                <c:pt idx="6">
                  <c:v>0.26648097458621844</c:v>
                </c:pt>
                <c:pt idx="7">
                  <c:v>0.34730740212793787</c:v>
                </c:pt>
                <c:pt idx="8">
                  <c:v>0.44676133725329414</c:v>
                </c:pt>
                <c:pt idx="9">
                  <c:v>0.56753930674006803</c:v>
                </c:pt>
                <c:pt idx="10">
                  <c:v>0.71238089607367172</c:v>
                </c:pt>
                <c:pt idx="11">
                  <c:v>0.88400364647703356</c:v>
                </c:pt>
                <c:pt idx="12">
                  <c:v>1.0850344779622993</c:v>
                </c:pt>
                <c:pt idx="13">
                  <c:v>1.3179408286409817</c:v>
                </c:pt>
                <c:pt idx="14">
                  <c:v>1.5849647756893894</c:v>
                </c:pt>
                <c:pt idx="15">
                  <c:v>1.8880632480607282</c:v>
                </c:pt>
                <c:pt idx="16">
                  <c:v>2.2288570738163145</c:v>
                </c:pt>
                <c:pt idx="17">
                  <c:v>2.6085910627585847</c:v>
                </c:pt>
                <c:pt idx="18">
                  <c:v>3.0281066582734937</c:v>
                </c:pt>
                <c:pt idx="19">
                  <c:v>3.4878279587501879</c:v>
                </c:pt>
                <c:pt idx="20">
                  <c:v>3.987761167674492</c:v>
                </c:pt>
                <c:pt idx="21">
                  <c:v>4.5275068370385512</c:v>
                </c:pt>
                <c:pt idx="22">
                  <c:v>5.1062836665495652</c:v>
                </c:pt>
                <c:pt idx="23">
                  <c:v>5.7229621445706016</c:v>
                </c:pt>
                <c:pt idx="24">
                  <c:v>6.376105985444056</c:v>
                </c:pt>
                <c:pt idx="25">
                  <c:v>7.0640191378988391</c:v>
                </c:pt>
                <c:pt idx="26">
                  <c:v>7.7847961044341929</c:v>
                </c:pt>
                <c:pt idx="27">
                  <c:v>8.5363734057617648</c:v>
                </c:pt>
                <c:pt idx="28">
                  <c:v>9.3165802243033653</c:v>
                </c:pt>
                <c:pt idx="29">
                  <c:v>10.123186539019287</c:v>
                </c:pt>
                <c:pt idx="30">
                  <c:v>10.953947391857227</c:v>
                </c:pt>
                <c:pt idx="31">
                  <c:v>11.806642276452777</c:v>
                </c:pt>
                <c:pt idx="32">
                  <c:v>12.679108988059141</c:v>
                </c:pt>
                <c:pt idx="33">
                  <c:v>13.569271600088328</c:v>
                </c:pt>
                <c:pt idx="34">
                  <c:v>14.47516252219144</c:v>
                </c:pt>
                <c:pt idx="35">
                  <c:v>15.394938837716396</c:v>
                </c:pt>
                <c:pt idx="36">
                  <c:v>16.326893309710854</c:v>
                </c:pt>
                <c:pt idx="37">
                  <c:v>17.269460583629098</c:v>
                </c:pt>
                <c:pt idx="38">
                  <c:v>18.221219204170339</c:v>
                </c:pt>
                <c:pt idx="39">
                  <c:v>19.180890108309015</c:v>
                </c:pt>
                <c:pt idx="40">
                  <c:v>20.14733226325697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F-4707-8F5D-E2BCB80A4D6B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discrete_put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xVal>
          <c:yVal>
            <c:numRef>
              <c:f>Sheet1!$L$6:$L$46</c:f>
              <c:numCache>
                <c:formatCode>General</c:formatCode>
                <c:ptCount val="41"/>
                <c:pt idx="0">
                  <c:v>3.4047379960682522E-2</c:v>
                </c:pt>
                <c:pt idx="1">
                  <c:v>4.4789567460682522E-2</c:v>
                </c:pt>
                <c:pt idx="2">
                  <c:v>5.5531754960682522E-2</c:v>
                </c:pt>
                <c:pt idx="3">
                  <c:v>9.6806891217839031E-2</c:v>
                </c:pt>
                <c:pt idx="4">
                  <c:v>0.15149439121783903</c:v>
                </c:pt>
                <c:pt idx="5">
                  <c:v>0.20618189121783903</c:v>
                </c:pt>
                <c:pt idx="6">
                  <c:v>0.26086939121783903</c:v>
                </c:pt>
                <c:pt idx="7">
                  <c:v>0.31555689121783903</c:v>
                </c:pt>
                <c:pt idx="8">
                  <c:v>0.40788732068490319</c:v>
                </c:pt>
                <c:pt idx="9">
                  <c:v>0.57976232068490319</c:v>
                </c:pt>
                <c:pt idx="10">
                  <c:v>0.75163732068490319</c:v>
                </c:pt>
                <c:pt idx="11">
                  <c:v>0.92351232068490319</c:v>
                </c:pt>
                <c:pt idx="12">
                  <c:v>1.0953873206849032</c:v>
                </c:pt>
                <c:pt idx="13">
                  <c:v>1.2672623206849032</c:v>
                </c:pt>
                <c:pt idx="14">
                  <c:v>1.561530627262492</c:v>
                </c:pt>
                <c:pt idx="15">
                  <c:v>1.938483752262492</c:v>
                </c:pt>
                <c:pt idx="16">
                  <c:v>2.315436877262492</c:v>
                </c:pt>
                <c:pt idx="17">
                  <c:v>2.692390002262492</c:v>
                </c:pt>
                <c:pt idx="18">
                  <c:v>3.069343127262492</c:v>
                </c:pt>
                <c:pt idx="19">
                  <c:v>3.446296252262492</c:v>
                </c:pt>
                <c:pt idx="20">
                  <c:v>3.9459687470320333</c:v>
                </c:pt>
                <c:pt idx="21">
                  <c:v>4.5690156220320333</c:v>
                </c:pt>
                <c:pt idx="22">
                  <c:v>5.1920624970320333</c:v>
                </c:pt>
                <c:pt idx="23">
                  <c:v>5.8151093720320333</c:v>
                </c:pt>
                <c:pt idx="24">
                  <c:v>6.4381562470320333</c:v>
                </c:pt>
                <c:pt idx="25">
                  <c:v>7.0612031220320333</c:v>
                </c:pt>
                <c:pt idx="26">
                  <c:v>7.6847395769465408</c:v>
                </c:pt>
                <c:pt idx="27">
                  <c:v>8.5128645769465408</c:v>
                </c:pt>
                <c:pt idx="28">
                  <c:v>9.3409895769465408</c:v>
                </c:pt>
                <c:pt idx="29">
                  <c:v>10.169114576946541</c:v>
                </c:pt>
                <c:pt idx="30">
                  <c:v>10.997239576946541</c:v>
                </c:pt>
                <c:pt idx="31">
                  <c:v>11.825364576946541</c:v>
                </c:pt>
                <c:pt idx="32">
                  <c:v>12.653489576946541</c:v>
                </c:pt>
                <c:pt idx="33">
                  <c:v>13.49122085642486</c:v>
                </c:pt>
                <c:pt idx="34">
                  <c:v>14.43653335642486</c:v>
                </c:pt>
                <c:pt idx="35">
                  <c:v>15.38184585642486</c:v>
                </c:pt>
                <c:pt idx="36">
                  <c:v>16.32715835642486</c:v>
                </c:pt>
                <c:pt idx="37">
                  <c:v>17.27247085642486</c:v>
                </c:pt>
                <c:pt idx="38">
                  <c:v>18.21778335642486</c:v>
                </c:pt>
                <c:pt idx="39">
                  <c:v>19.16309585642486</c:v>
                </c:pt>
                <c:pt idx="40">
                  <c:v>20.10840835642486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1F-4707-8F5D-E2BCB80A4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33392"/>
        <c:axId val="61917072"/>
      </c:scatterChart>
      <c:valAx>
        <c:axId val="61933392"/>
        <c:scaling>
          <c:orientation val="minMax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7072"/>
        <c:crosses val="autoZero"/>
        <c:crossBetween val="midCat"/>
      </c:valAx>
      <c:valAx>
        <c:axId val="619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3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6</xdr:row>
      <xdr:rowOff>213784</xdr:rowOff>
    </xdr:from>
    <xdr:to>
      <xdr:col>23</xdr:col>
      <xdr:colOff>766380</xdr:colOff>
      <xdr:row>45</xdr:row>
      <xdr:rowOff>21897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6F7E3-8091-1783-FA66-27C71CE54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N46"/>
  <sheetViews>
    <sheetView tabSelected="1" topLeftCell="B4" zoomScale="56" workbookViewId="0">
      <selection activeCell="J27" sqref="J27"/>
    </sheetView>
  </sheetViews>
  <sheetFormatPr defaultRowHeight="17.5"/>
  <cols>
    <col min="1" max="1" width="3.5625" customWidth="1"/>
    <col min="6" max="6" width="13.625" customWidth="1"/>
    <col min="7" max="7" width="13.1875" customWidth="1"/>
    <col min="8" max="8" width="21.0625" customWidth="1"/>
    <col min="11" max="11" width="12.875" customWidth="1"/>
  </cols>
  <sheetData>
    <row r="2" spans="2:14">
      <c r="B2" s="2" t="s">
        <v>0</v>
      </c>
      <c r="C2">
        <v>10</v>
      </c>
      <c r="E2" s="2" t="s">
        <v>4</v>
      </c>
      <c r="F2" s="3" cm="1">
        <f t="array" ref="F2">_xll.\OPTION.DISCRETE(D5:D15,C5:C15)</f>
        <v>2607200408784</v>
      </c>
      <c r="G2" s="2" t="s">
        <v>3</v>
      </c>
      <c r="H2" s="3" cm="1">
        <f t="array" ref="H2">_xll.\OPTION.NORMAL()</f>
        <v>2607747460688</v>
      </c>
      <c r="I2" s="2" t="s">
        <v>5</v>
      </c>
      <c r="J2">
        <v>100</v>
      </c>
    </row>
    <row r="3" spans="2:14">
      <c r="I3" s="2" t="s">
        <v>6</v>
      </c>
      <c r="J3">
        <v>0.1</v>
      </c>
    </row>
    <row r="4" spans="2:14">
      <c r="C4" s="1" t="s">
        <v>1</v>
      </c>
      <c r="D4" s="1" t="s">
        <v>2</v>
      </c>
      <c r="I4" s="2" t="s">
        <v>7</v>
      </c>
      <c r="J4">
        <v>100</v>
      </c>
    </row>
    <row r="5" spans="2:14">
      <c r="B5" cm="1">
        <f t="array" ref="B5:B15">_xlfn.SEQUENCE(n+1,1,0)</f>
        <v>0</v>
      </c>
      <c r="C5" cm="1">
        <f t="array" ref="C5:C15">_xlfn.BINOM.DIST(_xlfn.ANCHORARRAY(B5),10,0.5,FALSE)</f>
        <v>9.765625E-4</v>
      </c>
      <c r="D5" cm="1">
        <f t="array" ref="D5:D15">_xlfn.ANCHORARRAY(B5)</f>
        <v>0</v>
      </c>
      <c r="F5" cm="1">
        <f t="array" ref="F5:F15">_xll.OPTION.DISCRETE(discrete)</f>
        <v>-3.1622776601683795</v>
      </c>
      <c r="J5" s="1" t="s">
        <v>10</v>
      </c>
      <c r="K5" s="2" t="s">
        <v>8</v>
      </c>
      <c r="L5" t="s">
        <v>9</v>
      </c>
    </row>
    <row r="6" spans="2:14">
      <c r="B6">
        <v>1</v>
      </c>
      <c r="C6">
        <v>9.7656250000000017E-3</v>
      </c>
      <c r="D6">
        <v>1</v>
      </c>
      <c r="F6">
        <v>-2.5298221281347035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cm="1">
        <f t="array" ref="L6">_xll.OPTION.BLACK.PUT($J$2, $J$3, J6, $F$2)</f>
        <v>3.4047379960682522E-2</v>
      </c>
    </row>
    <row r="7" spans="2:14">
      <c r="B7">
        <v>2</v>
      </c>
      <c r="C7">
        <v>4.3945312499999972E-2</v>
      </c>
      <c r="D7">
        <v>2</v>
      </c>
      <c r="F7">
        <v>-1.8973665961010278</v>
      </c>
      <c r="I7">
        <v>120</v>
      </c>
      <c r="J7">
        <v>81</v>
      </c>
      <c r="K7">
        <v>5.7008934088098151E-2</v>
      </c>
      <c r="L7" cm="1">
        <f t="array" ref="L7">_xll.OPTION.BLACK.PUT($J$2, $J$3, J7, $F$2)</f>
        <v>4.4789567460682522E-2</v>
      </c>
    </row>
    <row r="8" spans="2:14">
      <c r="B8">
        <v>3</v>
      </c>
      <c r="C8">
        <v>0.11718750000000003</v>
      </c>
      <c r="D8">
        <v>3</v>
      </c>
      <c r="F8">
        <v>-1.2649110640673518</v>
      </c>
      <c r="I8">
        <v>1</v>
      </c>
      <c r="J8">
        <v>82</v>
      </c>
      <c r="K8">
        <v>8.0058534547871929E-2</v>
      </c>
      <c r="L8" cm="1">
        <f t="array" ref="L8">_xll.OPTION.BLACK.PUT($J$2, $J$3, J8, $F$2)</f>
        <v>5.5531754960682522E-2</v>
      </c>
    </row>
    <row r="9" spans="2:14">
      <c r="B9">
        <v>4</v>
      </c>
      <c r="C9">
        <v>0.20507812500000006</v>
      </c>
      <c r="D9">
        <v>4</v>
      </c>
      <c r="F9">
        <v>-0.63245553203367588</v>
      </c>
      <c r="J9">
        <v>83</v>
      </c>
      <c r="K9">
        <v>0.11061799019468133</v>
      </c>
      <c r="L9" cm="1">
        <f t="array" ref="L9">_xll.OPTION.BLACK.PUT($J$2, $J$3, J9, $F$2)</f>
        <v>9.6806891217839031E-2</v>
      </c>
    </row>
    <row r="10" spans="2:14">
      <c r="B10">
        <v>5</v>
      </c>
      <c r="C10">
        <v>0.24609375000000008</v>
      </c>
      <c r="D10">
        <v>5</v>
      </c>
      <c r="F10">
        <v>0</v>
      </c>
      <c r="J10">
        <v>84</v>
      </c>
      <c r="K10">
        <v>0.15048353300942274</v>
      </c>
      <c r="L10" cm="1">
        <f t="array" ref="L10">_xll.OPTION.BLACK.PUT($J$2, $J$3, J10, $F$2)</f>
        <v>0.15149439121783903</v>
      </c>
    </row>
    <row r="11" spans="2:14">
      <c r="B11">
        <v>6</v>
      </c>
      <c r="C11">
        <v>0.20507812500000006</v>
      </c>
      <c r="D11">
        <v>6</v>
      </c>
      <c r="F11">
        <v>0.63245553203367588</v>
      </c>
      <c r="J11">
        <v>85</v>
      </c>
      <c r="K11">
        <v>0.20168732797265765</v>
      </c>
      <c r="L11" cm="1">
        <f t="array" ref="L11">_xll.OPTION.BLACK.PUT($J$2, $J$3, J11, $F$2)</f>
        <v>0.20618189121783903</v>
      </c>
    </row>
    <row r="12" spans="2:14">
      <c r="B12">
        <v>7</v>
      </c>
      <c r="C12">
        <v>0.11718750000000003</v>
      </c>
      <c r="D12">
        <v>7</v>
      </c>
      <c r="F12">
        <v>1.2649110640673518</v>
      </c>
      <c r="J12">
        <v>86</v>
      </c>
      <c r="K12">
        <v>0.26648097458621844</v>
      </c>
      <c r="L12" cm="1">
        <f t="array" ref="L12">_xll.OPTION.BLACK.PUT($J$2, $J$3, J12, $F$2)</f>
        <v>0.26086939121783903</v>
      </c>
    </row>
    <row r="13" spans="2:14">
      <c r="B13">
        <v>8</v>
      </c>
      <c r="C13">
        <v>4.3945312499999986E-2</v>
      </c>
      <c r="D13">
        <v>8</v>
      </c>
      <c r="F13">
        <v>1.8973665961010278</v>
      </c>
      <c r="J13">
        <v>87</v>
      </c>
      <c r="K13">
        <v>0.34730740212793787</v>
      </c>
      <c r="L13" cm="1">
        <f t="array" ref="L13">_xll.OPTION.BLACK.PUT($J$2, $J$3, J13, $F$2)</f>
        <v>0.31555689121783903</v>
      </c>
    </row>
    <row r="14" spans="2:14">
      <c r="B14">
        <v>9</v>
      </c>
      <c r="C14">
        <v>9.7656250000000017E-3</v>
      </c>
      <c r="D14">
        <v>9</v>
      </c>
      <c r="F14">
        <v>2.5298221281347035</v>
      </c>
      <c r="J14">
        <v>88</v>
      </c>
      <c r="K14">
        <v>0.44676133725329414</v>
      </c>
      <c r="L14" cm="1">
        <f t="array" ref="L14">_xll.OPTION.BLACK.PUT($J$2, $J$3, J14, $F$2)</f>
        <v>0.40788732068490319</v>
      </c>
    </row>
    <row r="15" spans="2:14">
      <c r="B15">
        <v>10</v>
      </c>
      <c r="C15">
        <v>9.765625E-4</v>
      </c>
      <c r="D15">
        <v>10</v>
      </c>
      <c r="F15">
        <v>3.1622776601683795</v>
      </c>
      <c r="J15">
        <v>89</v>
      </c>
      <c r="K15">
        <v>0.56753930674006803</v>
      </c>
      <c r="L15" cm="1">
        <f t="array" ref="L15">_xll.OPTION.BLACK.PUT($J$2, $J$3, J15, $F$2)</f>
        <v>0.57976232068490319</v>
      </c>
    </row>
    <row r="16" spans="2:14">
      <c r="J16">
        <v>90</v>
      </c>
      <c r="K16">
        <v>0.71238089607367172</v>
      </c>
      <c r="L16" cm="1">
        <f t="array" ref="L16">_xll.OPTION.BLACK.PUT($J$2, $J$3, J16, $F$2)</f>
        <v>0.75163732068490319</v>
      </c>
    </row>
    <row r="17" spans="6:12">
      <c r="J17">
        <v>91</v>
      </c>
      <c r="K17">
        <v>0.88400364647703356</v>
      </c>
      <c r="L17" cm="1">
        <f t="array" ref="L17">_xll.OPTION.BLACK.PUT($J$2, $J$3, J17, $F$2)</f>
        <v>0.92351232068490319</v>
      </c>
    </row>
    <row r="18" spans="6:12">
      <c r="J18">
        <v>92</v>
      </c>
      <c r="K18">
        <v>1.0850344779622993</v>
      </c>
      <c r="L18" cm="1">
        <f t="array" ref="L18">_xll.OPTION.BLACK.PUT($J$2, $J$3, J18, $F$2)</f>
        <v>1.0953873206849032</v>
      </c>
    </row>
    <row r="19" spans="6:12">
      <c r="J19">
        <v>93</v>
      </c>
      <c r="K19">
        <v>1.3179408286409817</v>
      </c>
      <c r="L19" cm="1">
        <f t="array" ref="L19">_xll.OPTION.BLACK.PUT($J$2, $J$3, J19, $F$2)</f>
        <v>1.2672623206849032</v>
      </c>
    </row>
    <row r="20" spans="6:12">
      <c r="F20" t="s">
        <v>11</v>
      </c>
      <c r="G20" s="4">
        <f>SUMPRODUCT(F5:F15, C5:C15) /SUM(C5:C15)</f>
        <v>2.2117724318704284E-17</v>
      </c>
      <c r="J20">
        <v>94</v>
      </c>
      <c r="K20">
        <v>1.5849647756893894</v>
      </c>
      <c r="L20" cm="1">
        <f t="array" ref="L20">_xll.OPTION.BLACK.PUT($J$2, $J$3, J20, $F$2)</f>
        <v>1.561530627262492</v>
      </c>
    </row>
    <row r="21" spans="6:12">
      <c r="F21" t="s">
        <v>12</v>
      </c>
      <c r="G21" cm="1">
        <f t="array" ref="G21">SUMPRODUCT(F5:F15*F5:F15, C5:C15)</f>
        <v>1</v>
      </c>
      <c r="J21">
        <v>95</v>
      </c>
      <c r="K21">
        <v>1.8880632480607282</v>
      </c>
      <c r="L21" cm="1">
        <f t="array" ref="L21">_xll.OPTION.BLACK.PUT($J$2, $J$3, J21, $F$2)</f>
        <v>1.938483752262492</v>
      </c>
    </row>
    <row r="22" spans="6:12">
      <c r="J22">
        <v>96</v>
      </c>
      <c r="K22">
        <v>2.2288570738163145</v>
      </c>
      <c r="L22" cm="1">
        <f t="array" ref="L22">_xll.OPTION.BLACK.PUT($J$2, $J$3, J22, $F$2)</f>
        <v>2.315436877262492</v>
      </c>
    </row>
    <row r="23" spans="6:12">
      <c r="J23">
        <v>97</v>
      </c>
      <c r="K23">
        <v>2.6085910627585847</v>
      </c>
      <c r="L23" cm="1">
        <f t="array" ref="L23">_xll.OPTION.BLACK.PUT($J$2, $J$3, J23, $F$2)</f>
        <v>2.692390002262492</v>
      </c>
    </row>
    <row r="24" spans="6:12">
      <c r="J24">
        <v>98</v>
      </c>
      <c r="K24">
        <v>3.0281066582734937</v>
      </c>
      <c r="L24" cm="1">
        <f t="array" ref="L24">_xll.OPTION.BLACK.PUT($J$2, $J$3, J24, $F$2)</f>
        <v>3.069343127262492</v>
      </c>
    </row>
    <row r="25" spans="6:12">
      <c r="J25">
        <v>99</v>
      </c>
      <c r="K25">
        <v>3.4878279587501879</v>
      </c>
      <c r="L25" cm="1">
        <f t="array" ref="L25">_xll.OPTION.BLACK.PUT($J$2, $J$3, J25, $F$2)</f>
        <v>3.446296252262492</v>
      </c>
    </row>
    <row r="26" spans="6:12">
      <c r="J26">
        <v>100</v>
      </c>
      <c r="K26">
        <v>3.987761167674492</v>
      </c>
      <c r="L26" cm="1">
        <f t="array" ref="L26">_xll.OPTION.BLACK.PUT($J$2, $J$3, J26, $F$2)</f>
        <v>3.9459687470320333</v>
      </c>
    </row>
    <row r="27" spans="6:12">
      <c r="J27">
        <v>101</v>
      </c>
      <c r="K27">
        <v>4.5275068370385512</v>
      </c>
      <c r="L27" cm="1">
        <f t="array" ref="L27">_xll.OPTION.BLACK.PUT($J$2, $J$3, J27, $F$2)</f>
        <v>4.5690156220320333</v>
      </c>
    </row>
    <row r="28" spans="6:12">
      <c r="J28">
        <v>102</v>
      </c>
      <c r="K28">
        <v>5.1062836665495652</v>
      </c>
      <c r="L28" cm="1">
        <f t="array" ref="L28">_xll.OPTION.BLACK.PUT($J$2, $J$3, J28, $F$2)</f>
        <v>5.1920624970320333</v>
      </c>
    </row>
    <row r="29" spans="6:12">
      <c r="J29">
        <v>103</v>
      </c>
      <c r="K29">
        <v>5.7229621445706016</v>
      </c>
      <c r="L29" cm="1">
        <f t="array" ref="L29">_xll.OPTION.BLACK.PUT($J$2, $J$3, J29, $F$2)</f>
        <v>5.8151093720320333</v>
      </c>
    </row>
    <row r="30" spans="6:12">
      <c r="J30">
        <v>104</v>
      </c>
      <c r="K30">
        <v>6.376105985444056</v>
      </c>
      <c r="L30" cm="1">
        <f t="array" ref="L30">_xll.OPTION.BLACK.PUT($J$2, $J$3, J30, $F$2)</f>
        <v>6.4381562470320333</v>
      </c>
    </row>
    <row r="31" spans="6:12">
      <c r="J31">
        <v>105</v>
      </c>
      <c r="K31">
        <v>7.0640191378988391</v>
      </c>
      <c r="L31" cm="1">
        <f t="array" ref="L31">_xll.OPTION.BLACK.PUT($J$2, $J$3, J31, $F$2)</f>
        <v>7.0612031220320333</v>
      </c>
    </row>
    <row r="32" spans="6:12">
      <c r="J32">
        <v>106</v>
      </c>
      <c r="K32">
        <v>7.7847961044341929</v>
      </c>
      <c r="L32" cm="1">
        <f t="array" ref="L32">_xll.OPTION.BLACK.PUT($J$2, $J$3, J32, $F$2)</f>
        <v>7.6847395769465408</v>
      </c>
    </row>
    <row r="33" spans="10:12">
      <c r="J33">
        <v>107</v>
      </c>
      <c r="K33">
        <v>8.5363734057617648</v>
      </c>
      <c r="L33" cm="1">
        <f t="array" ref="L33">_xll.OPTION.BLACK.PUT($J$2, $J$3, J33, $F$2)</f>
        <v>8.5128645769465408</v>
      </c>
    </row>
    <row r="34" spans="10:12">
      <c r="J34">
        <v>108</v>
      </c>
      <c r="K34">
        <v>9.3165802243033653</v>
      </c>
      <c r="L34" cm="1">
        <f t="array" ref="L34">_xll.OPTION.BLACK.PUT($J$2, $J$3, J34, $F$2)</f>
        <v>9.3409895769465408</v>
      </c>
    </row>
    <row r="35" spans="10:12">
      <c r="J35">
        <v>109</v>
      </c>
      <c r="K35">
        <v>10.123186539019287</v>
      </c>
      <c r="L35" cm="1">
        <f t="array" ref="L35">_xll.OPTION.BLACK.PUT($J$2, $J$3, J35, $F$2)</f>
        <v>10.169114576946541</v>
      </c>
    </row>
    <row r="36" spans="10:12">
      <c r="J36">
        <v>110</v>
      </c>
      <c r="K36">
        <v>10.953947391857227</v>
      </c>
      <c r="L36" cm="1">
        <f t="array" ref="L36">_xll.OPTION.BLACK.PUT($J$2, $J$3, J36, $F$2)</f>
        <v>10.997239576946541</v>
      </c>
    </row>
    <row r="37" spans="10:12">
      <c r="J37">
        <v>111</v>
      </c>
      <c r="K37">
        <v>11.806642276452777</v>
      </c>
      <c r="L37" cm="1">
        <f t="array" ref="L37">_xll.OPTION.BLACK.PUT($J$2, $J$3, J37, $F$2)</f>
        <v>11.825364576946541</v>
      </c>
    </row>
    <row r="38" spans="10:12">
      <c r="J38">
        <v>112</v>
      </c>
      <c r="K38">
        <v>12.679108988059141</v>
      </c>
      <c r="L38" cm="1">
        <f t="array" ref="L38">_xll.OPTION.BLACK.PUT($J$2, $J$3, J38, $F$2)</f>
        <v>12.653489576946541</v>
      </c>
    </row>
    <row r="39" spans="10:12">
      <c r="J39">
        <v>113</v>
      </c>
      <c r="K39">
        <v>13.569271600088328</v>
      </c>
      <c r="L39" cm="1">
        <f t="array" ref="L39">_xll.OPTION.BLACK.PUT($J$2, $J$3, J39, $F$2)</f>
        <v>13.49122085642486</v>
      </c>
    </row>
    <row r="40" spans="10:12">
      <c r="J40">
        <v>114</v>
      </c>
      <c r="K40">
        <v>14.47516252219144</v>
      </c>
      <c r="L40" cm="1">
        <f t="array" ref="L40">_xll.OPTION.BLACK.PUT($J$2, $J$3, J40, $F$2)</f>
        <v>14.43653335642486</v>
      </c>
    </row>
    <row r="41" spans="10:12">
      <c r="J41">
        <v>115</v>
      </c>
      <c r="K41">
        <v>15.394938837716396</v>
      </c>
      <c r="L41" cm="1">
        <f t="array" ref="L41">_xll.OPTION.BLACK.PUT($J$2, $J$3, J41, $F$2)</f>
        <v>15.38184585642486</v>
      </c>
    </row>
    <row r="42" spans="10:12">
      <c r="J42">
        <v>116</v>
      </c>
      <c r="K42">
        <v>16.326893309710854</v>
      </c>
      <c r="L42" cm="1">
        <f t="array" ref="L42">_xll.OPTION.BLACK.PUT($J$2, $J$3, J42, $F$2)</f>
        <v>16.32715835642486</v>
      </c>
    </row>
    <row r="43" spans="10:12">
      <c r="J43">
        <v>117</v>
      </c>
      <c r="K43">
        <v>17.269460583629098</v>
      </c>
      <c r="L43" cm="1">
        <f t="array" ref="L43">_xll.OPTION.BLACK.PUT($J$2, $J$3, J43, $F$2)</f>
        <v>17.27247085642486</v>
      </c>
    </row>
    <row r="44" spans="10:12">
      <c r="J44">
        <v>118</v>
      </c>
      <c r="K44">
        <v>18.221219204170339</v>
      </c>
      <c r="L44" cm="1">
        <f t="array" ref="L44">_xll.OPTION.BLACK.PUT($J$2, $J$3, J44, $F$2)</f>
        <v>18.21778335642486</v>
      </c>
    </row>
    <row r="45" spans="10:12">
      <c r="J45">
        <v>119</v>
      </c>
      <c r="K45">
        <v>19.180890108309015</v>
      </c>
      <c r="L45" cm="1">
        <f t="array" ref="L45">_xll.OPTION.BLACK.PUT($J$2, $J$3, J45, $F$2)</f>
        <v>19.16309585642486</v>
      </c>
    </row>
    <row r="46" spans="10:12">
      <c r="J46">
        <v>120</v>
      </c>
      <c r="K46">
        <v>20.14733226325697</v>
      </c>
      <c r="L46" cm="1">
        <f t="array" ref="L46">_xll.OPTION.BLACK.PUT($J$2, $J$3, J46, $F$2)</f>
        <v>20.10840835642486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Amaan Ansari</cp:lastModifiedBy>
  <dcterms:created xsi:type="dcterms:W3CDTF">2026-03-09T15:54:00Z</dcterms:created>
  <dcterms:modified xsi:type="dcterms:W3CDTF">2026-03-09T20:39:25Z</dcterms:modified>
</cp:coreProperties>
</file>